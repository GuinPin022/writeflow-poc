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leves" sheetId="2" state="visible" r:id="rId4"/>
    <sheet name="Synthe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<sst xmlns="http://schemas.openxmlformats.org/spreadsheetml/2006/main" count="75" uniqueCount="72">
  <si>
    <t xml:space="preserve">WriteFlow — Journal de tests du POC tracking</t>
  </si>
  <si>
    <t xml:space="preserve">Objectif</t>
  </si>
  <si>
    <t xml:space="preserve">Consigner chaque test du POC et comparer la mesure de l'add-in a la verite terrain (mots reellement tapes/colles/supprimes, comptes a la main).</t>
  </si>
  <si>
    <t xml:space="preserve">Onglet 'Releves'</t>
  </si>
  <si>
    <t xml:space="preserve">Une ligne par test. Remplir les colonnes bleu clair (saisie). Les colonnes grises (erreur %, verdict) se calculent seules.</t>
  </si>
  <si>
    <t xml:space="preserve">Verite terrain</t>
  </si>
  <si>
    <t xml:space="preserve">Avant chaque test, noter le nombre de mots reellement produits. Puis lancer le scenario dans Word avec l'add-in, et reporter les valeurs des exports CSV/JSON.</t>
  </si>
  <si>
    <t xml:space="preserve">Onglet 'Synthese'</t>
  </si>
  <si>
    <t xml:space="preserve">Agrege les resultats et propose un verdict global GO / GO conditionnel / NO-GO selon les seuils du protocole.</t>
  </si>
  <si>
    <t xml:space="preserve">Seuils (rappel)</t>
  </si>
  <si>
    <t xml:space="preserve">Erreur tapee &lt; 2% = GO, 2-8% = conditionnel, &gt; 8% = NO-GO. Latence &lt; 200 ms = GO, &gt; 500 ms = NO-GO. Detection collage &gt; 95% = GO.</t>
  </si>
  <si>
    <t xml:space="preserve">Conseil</t>
  </si>
  <si>
    <t xml:space="preserve">Rejouer le MEME scenario sur Desktop Windows, Desktop Mac et Web pour tester la coherence cross-plateforme.</t>
  </si>
  <si>
    <t xml:space="preserve">Releves de test — POC tracking</t>
  </si>
  <si>
    <t xml:space="preserve">ID</t>
  </si>
  <si>
    <t xml:space="preserve">Date</t>
  </si>
  <si>
    <t xml:space="preserve">Plateforme</t>
  </si>
  <si>
    <t xml:space="preserve">Scenario</t>
  </si>
  <si>
    <t xml:space="preserve">VT mots tapes</t>
  </si>
  <si>
    <t xml:space="preserve">VT mots colles</t>
  </si>
  <si>
    <t xml:space="preserve">VT mots supprimes</t>
  </si>
  <si>
    <t xml:space="preserve">Mesure tapee</t>
  </si>
  <si>
    <t xml:space="preserve">Mesure colle</t>
  </si>
  <si>
    <t xml:space="preserve">Mesure supprime</t>
  </si>
  <si>
    <t xml:space="preserve">Erreur tapee %</t>
  </si>
  <si>
    <t xml:space="preserve">Latence max (ms)</t>
  </si>
  <si>
    <t xml:space="preserve">WordApi 1.5 ?</t>
  </si>
  <si>
    <t xml:space="preserve">Collage attendu ?</t>
  </si>
  <si>
    <t xml:space="preserve">Collage detecte ?</t>
  </si>
  <si>
    <t xml:space="preserve">Verdict ligne</t>
  </si>
  <si>
    <t xml:space="preserve">Notes</t>
  </si>
  <si>
    <t xml:space="preserve">2026-06-20</t>
  </si>
  <si>
    <t xml:space="preserve">Desktop Windows</t>
  </si>
  <si>
    <t xml:space="preserve">Coller un bloc</t>
  </si>
  <si>
    <t xml:space="preserve">Oui</t>
  </si>
  <si>
    <t xml:space="preserve">Exemple : collage de 2000 mots, bien classe en colle.</t>
  </si>
  <si>
    <t xml:space="preserve">Synthese &amp; decision</t>
  </si>
  <si>
    <t xml:space="preserve">Indicateurs</t>
  </si>
  <si>
    <t xml:space="preserve">Tests realises</t>
  </si>
  <si>
    <t xml:space="preserve">Erreur tapee moyenne</t>
  </si>
  <si>
    <t xml:space="preserve">Erreur tapee max</t>
  </si>
  <si>
    <t xml:space="preserve">Latence moyenne (ms)</t>
  </si>
  <si>
    <t xml:space="preserve">Taux detection collage</t>
  </si>
  <si>
    <t xml:space="preserve">Tests GO</t>
  </si>
  <si>
    <t xml:space="preserve">Tests Conditionnel</t>
  </si>
  <si>
    <t xml:space="preserve">Tests NO-GO</t>
  </si>
  <si>
    <t xml:space="preserve">Verdict global</t>
  </si>
  <si>
    <t xml:space="preserve">Seuils de decision (rappel du protocole)</t>
  </si>
  <si>
    <t xml:space="preserve">Critere</t>
  </si>
  <si>
    <t xml:space="preserve">GO</t>
  </si>
  <si>
    <t xml:space="preserve">Conditionnel</t>
  </si>
  <si>
    <t xml:space="preserve">NO-GO</t>
  </si>
  <si>
    <t xml:space="preserve">Erreur de comptage</t>
  </si>
  <si>
    <t xml:space="preserve">&lt; 2%</t>
  </si>
  <si>
    <t xml:space="preserve">2 - 8%</t>
  </si>
  <si>
    <t xml:space="preserve">&gt; 8%</t>
  </si>
  <si>
    <t xml:space="preserve">Detection collage</t>
  </si>
  <si>
    <t xml:space="preserve">&gt; 95%</t>
  </si>
  <si>
    <t xml:space="preserve">80 - 95%</t>
  </si>
  <si>
    <t xml:space="preserve">&lt; 80%</t>
  </si>
  <si>
    <t xml:space="preserve">Latence (doc long)</t>
  </si>
  <si>
    <t xml:space="preserve">&lt; 200 ms</t>
  </si>
  <si>
    <t xml:space="preserve">200 - 500 ms</t>
  </si>
  <si>
    <t xml:space="preserve">&gt; 500 ms</t>
  </si>
  <si>
    <t xml:space="preserve">Coherence cross-plateforme</t>
  </si>
  <si>
    <t xml:space="preserve">identique</t>
  </si>
  <si>
    <t xml:space="preserve">ecarts mineurs</t>
  </si>
  <si>
    <t xml:space="preserve">1 plateforme KO</t>
  </si>
  <si>
    <t xml:space="preserve">Perte hors-ligne</t>
  </si>
  <si>
    <t xml:space="preserve">0</t>
  </si>
  <si>
    <t xml:space="preserve">rare</t>
  </si>
  <si>
    <t xml:space="preserve">frequente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</si>
</sst>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579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2B579A"/>
      <name val="Arial"/>
      <family val="0"/>
      <charset val="1"/>
    </font>
    <font>
      <b val="true"/>
      <sz val="12"/>
      <color rgb="FF2B579A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579A"/>
        <bgColor rgb="FF0066CC"/>
      </patternFill>
    </fill>
    <fill>
      <patternFill patternType="solid">
        <fgColor rgb="FFE8F0FE"/>
        <bgColor rgb="FFF3F4F6"/>
      </patternFill>
    </fill>
    <fill>
      <patternFill patternType="solid">
        <fgColor rgb="FFF3F4F6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8F0F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57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4" customFormat="false" ht="42" hidden="false" customHeight="true" outlineLevel="0" collapsed="false">
      <c r="B4" s="2" t="s">
        <v>1</v>
      </c>
      <c r="C4" s="3" t="s">
        <v>2</v>
      </c>
    </row>
    <row r="5" customFormat="false" ht="42" hidden="false" customHeight="true" outlineLevel="0" collapsed="false">
      <c r="B5" s="2" t="s">
        <v>3</v>
      </c>
      <c r="C5" s="3" t="s">
        <v>4</v>
      </c>
    </row>
    <row r="6" customFormat="false" ht="42" hidden="false" customHeight="true" outlineLevel="0" collapsed="false">
      <c r="B6" s="2" t="s">
        <v>5</v>
      </c>
      <c r="C6" s="3" t="s">
        <v>6</v>
      </c>
    </row>
    <row r="7" customFormat="false" ht="42" hidden="false" customHeight="true" outlineLevel="0" collapsed="false">
      <c r="B7" s="2" t="s">
        <v>7</v>
      </c>
      <c r="C7" s="3" t="s">
        <v>8</v>
      </c>
    </row>
    <row r="8" customFormat="false" ht="42" hidden="false" customHeight="true" outlineLevel="0" collapsed="false">
      <c r="B8" s="2" t="s">
        <v>9</v>
      </c>
      <c r="C8" s="3" t="s">
        <v>10</v>
      </c>
    </row>
    <row r="9" customFormat="false" ht="42" hidden="false" customHeight="true" outlineLevel="0" collapsed="false">
      <c r="B9" s="2" t="s">
        <v>11</v>
      </c>
      <c r="C9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2" min="10" style="0" width="13"/>
    <col collapsed="false" customWidth="true" hidden="false" outlineLevel="0" max="13" min="13" style="0" width="12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7" min="17" style="0" width="40"/>
  </cols>
  <sheetData>
    <row r="1" customFormat="false" ht="17.35" hidden="false" customHeight="false" outlineLevel="0" collapsed="false">
      <c r="A1" s="1" t="s">
        <v>13</v>
      </c>
    </row>
    <row r="3" customFormat="false" ht="30" hidden="false" customHeight="tru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  <c r="Q3" s="4" t="s">
        <v>30</v>
      </c>
    </row>
    <row r="4" customFormat="false" ht="15" hidden="false" customHeight="false" outlineLevel="0" collapsed="false">
      <c r="A4" s="5" t="n">
        <v>1</v>
      </c>
      <c r="B4" s="5" t="s">
        <v>31</v>
      </c>
      <c r="C4" s="5" t="s">
        <v>32</v>
      </c>
      <c r="D4" s="5" t="s">
        <v>33</v>
      </c>
      <c r="E4" s="6" t="n">
        <v>0</v>
      </c>
      <c r="F4" s="6" t="n">
        <v>2000</v>
      </c>
      <c r="G4" s="6" t="n">
        <v>0</v>
      </c>
      <c r="H4" s="6" t="n">
        <v>0</v>
      </c>
      <c r="I4" s="6" t="n">
        <v>1980</v>
      </c>
      <c r="J4" s="6" t="n">
        <v>0</v>
      </c>
      <c r="K4" s="7" t="n">
        <f aca="false">IF($E4="","",IF($E4=0,IF($H4=0,0,1),ABS($H4-$E4)/$E4))</f>
        <v>0</v>
      </c>
      <c r="L4" s="8" t="n">
        <v>95</v>
      </c>
      <c r="M4" s="5" t="s">
        <v>34</v>
      </c>
      <c r="N4" s="5" t="s">
        <v>34</v>
      </c>
      <c r="O4" s="5" t="s">
        <v>34</v>
      </c>
      <c r="P4" s="9" t="str">
        <f aca="false">IF($E4="","",IF(OR($K4&gt;0.08,$L4&gt;500),"NO-GO",IF(AND($K4&lt;=0.02,$L4&lt;=200,OR($N4="Non",AND($N4="Oui",$O4="Oui"))),"GO","Conditionnel")))</f>
        <v>GO</v>
      </c>
      <c r="Q4" s="5" t="s">
        <v>35</v>
      </c>
    </row>
    <row r="5" customFormat="false" ht="15" hidden="false" customHeight="false" outlineLevel="0" collapsed="false">
      <c r="A5" s="5"/>
      <c r="B5" s="5"/>
      <c r="C5" s="5"/>
      <c r="D5" s="5"/>
      <c r="E5" s="6"/>
      <c r="F5" s="6"/>
      <c r="G5" s="6"/>
      <c r="H5" s="6"/>
      <c r="I5" s="6"/>
      <c r="J5" s="6"/>
      <c r="K5" s="7" t="str">
        <f aca="false">IF($E5="","",IF($E5=0,IF($H5=0,0,1),ABS($H5-$E5)/$E5))</f>
        <v/>
      </c>
      <c r="L5" s="8"/>
      <c r="M5" s="5"/>
      <c r="N5" s="5"/>
      <c r="O5" s="5"/>
      <c r="P5" s="9" t="str">
        <f aca="false">IF($E5="","",IF(OR($K5&gt;0.08,$L5&gt;500),"NO-GO",IF(AND($K5&lt;=0.02,$L5&lt;=200,OR($N5="Non",AND($N5="Oui",$O5="Oui"))),"GO","Conditionnel")))</f>
        <v/>
      </c>
      <c r="Q5" s="5"/>
    </row>
    <row r="6" customFormat="false" ht="15" hidden="false" customHeight="false" outlineLevel="0" collapsed="false">
      <c r="A6" s="5"/>
      <c r="B6" s="5"/>
      <c r="C6" s="5"/>
      <c r="D6" s="5"/>
      <c r="E6" s="6"/>
      <c r="F6" s="6"/>
      <c r="G6" s="6"/>
      <c r="H6" s="6"/>
      <c r="I6" s="6"/>
      <c r="J6" s="6"/>
      <c r="K6" s="7" t="str">
        <f aca="false">IF($E6="","",IF($E6=0,IF($H6=0,0,1),ABS($H6-$E6)/$E6))</f>
        <v/>
      </c>
      <c r="L6" s="8"/>
      <c r="M6" s="5"/>
      <c r="N6" s="5"/>
      <c r="O6" s="5"/>
      <c r="P6" s="9" t="str">
        <f aca="false">IF($E6="","",IF(OR($K6&gt;0.08,$L6&gt;500),"NO-GO",IF(AND($K6&lt;=0.02,$L6&lt;=200,OR($N6="Non",AND($N6="Oui",$O6="Oui"))),"GO","Conditionnel")))</f>
        <v/>
      </c>
      <c r="Q6" s="5"/>
    </row>
    <row r="7" customFormat="false" ht="15" hidden="false" customHeight="false" outlineLevel="0" collapsed="false">
      <c r="A7" s="5"/>
      <c r="B7" s="5"/>
      <c r="C7" s="5"/>
      <c r="D7" s="5"/>
      <c r="E7" s="6"/>
      <c r="F7" s="6"/>
      <c r="G7" s="6"/>
      <c r="H7" s="6"/>
      <c r="I7" s="6"/>
      <c r="J7" s="6"/>
      <c r="K7" s="7" t="str">
        <f aca="false">IF($E7="","",IF($E7=0,IF($H7=0,0,1),ABS($H7-$E7)/$E7))</f>
        <v/>
      </c>
      <c r="L7" s="8"/>
      <c r="M7" s="5"/>
      <c r="N7" s="5"/>
      <c r="O7" s="5"/>
      <c r="P7" s="9" t="str">
        <f aca="false">IF($E7="","",IF(OR($K7&gt;0.08,$L7&gt;500),"NO-GO",IF(AND($K7&lt;=0.02,$L7&lt;=200,OR($N7="Non",AND($N7="Oui",$O7="Oui"))),"GO","Conditionnel")))</f>
        <v/>
      </c>
      <c r="Q7" s="5"/>
    </row>
    <row r="8" customFormat="false" ht="15" hidden="false" customHeight="false" outlineLevel="0" collapsed="false">
      <c r="A8" s="5"/>
      <c r="B8" s="5"/>
      <c r="C8" s="5"/>
      <c r="D8" s="5"/>
      <c r="E8" s="6"/>
      <c r="F8" s="6"/>
      <c r="G8" s="6"/>
      <c r="H8" s="6"/>
      <c r="I8" s="6"/>
      <c r="J8" s="6"/>
      <c r="K8" s="7" t="str">
        <f aca="false">IF($E8="","",IF($E8=0,IF($H8=0,0,1),ABS($H8-$E8)/$E8))</f>
        <v/>
      </c>
      <c r="L8" s="8"/>
      <c r="M8" s="5"/>
      <c r="N8" s="5"/>
      <c r="O8" s="5"/>
      <c r="P8" s="9" t="str">
        <f aca="false">IF($E8="","",IF(OR($K8&gt;0.08,$L8&gt;500),"NO-GO",IF(AND($K8&lt;=0.02,$L8&lt;=200,OR($N8="Non",AND($N8="Oui",$O8="Oui"))),"GO","Conditionnel")))</f>
        <v/>
      </c>
      <c r="Q8" s="5"/>
    </row>
    <row r="9" customFormat="false" ht="15" hidden="false" customHeight="false" outlineLevel="0" collapsed="false">
      <c r="A9" s="5"/>
      <c r="B9" s="5"/>
      <c r="C9" s="5"/>
      <c r="D9" s="5"/>
      <c r="E9" s="6"/>
      <c r="F9" s="6"/>
      <c r="G9" s="6"/>
      <c r="H9" s="6"/>
      <c r="I9" s="6"/>
      <c r="J9" s="6"/>
      <c r="K9" s="7" t="str">
        <f aca="false">IF($E9="","",IF($E9=0,IF($H9=0,0,1),ABS($H9-$E9)/$E9))</f>
        <v/>
      </c>
      <c r="L9" s="8"/>
      <c r="M9" s="5"/>
      <c r="N9" s="5"/>
      <c r="O9" s="5"/>
      <c r="P9" s="9" t="str">
        <f aca="false">IF($E9="","",IF(OR($K9&gt;0.08,$L9&gt;500),"NO-GO",IF(AND($K9&lt;=0.02,$L9&lt;=200,OR($N9="Non",AND($N9="Oui",$O9="Oui"))),"GO","Conditionnel")))</f>
        <v/>
      </c>
      <c r="Q9" s="5"/>
    </row>
    <row r="10" customFormat="false" ht="15" hidden="false" customHeight="false" outlineLevel="0" collapsed="false">
      <c r="A10" s="5"/>
      <c r="B10" s="5"/>
      <c r="C10" s="5"/>
      <c r="D10" s="5"/>
      <c r="E10" s="6"/>
      <c r="F10" s="6"/>
      <c r="G10" s="6"/>
      <c r="H10" s="6"/>
      <c r="I10" s="6"/>
      <c r="J10" s="6"/>
      <c r="K10" s="7" t="str">
        <f aca="false">IF($E10="","",IF($E10=0,IF($H10=0,0,1),ABS($H10-$E10)/$E10))</f>
        <v/>
      </c>
      <c r="L10" s="8"/>
      <c r="M10" s="5"/>
      <c r="N10" s="5"/>
      <c r="O10" s="5"/>
      <c r="P10" s="9" t="str">
        <f aca="false">IF($E10="","",IF(OR($K10&gt;0.08,$L10&gt;500),"NO-GO",IF(AND($K10&lt;=0.02,$L10&lt;=200,OR($N10="Non",AND($N10="Oui",$O10="Oui"))),"GO","Conditionnel")))</f>
        <v/>
      </c>
      <c r="Q10" s="5"/>
    </row>
    <row r="11" customFormat="false" ht="15" hidden="false" customHeight="false" outlineLevel="0" collapsed="false">
      <c r="A11" s="5"/>
      <c r="B11" s="5"/>
      <c r="C11" s="5"/>
      <c r="D11" s="5"/>
      <c r="E11" s="6"/>
      <c r="F11" s="6"/>
      <c r="G11" s="6"/>
      <c r="H11" s="6"/>
      <c r="I11" s="6"/>
      <c r="J11" s="6"/>
      <c r="K11" s="7" t="str">
        <f aca="false">IF($E11="","",IF($E11=0,IF($H11=0,0,1),ABS($H11-$E11)/$E11))</f>
        <v/>
      </c>
      <c r="L11" s="8"/>
      <c r="M11" s="5"/>
      <c r="N11" s="5"/>
      <c r="O11" s="5"/>
      <c r="P11" s="9" t="str">
        <f aca="false">IF($E11="","",IF(OR($K11&gt;0.08,$L11&gt;500),"NO-GO",IF(AND($K11&lt;=0.02,$L11&lt;=200,OR($N11="Non",AND($N11="Oui",$O11="Oui"))),"GO","Conditionnel")))</f>
        <v/>
      </c>
      <c r="Q11" s="5"/>
    </row>
    <row r="12" customFormat="false" ht="15" hidden="false" customHeight="false" outlineLevel="0" collapsed="false">
      <c r="A12" s="5"/>
      <c r="B12" s="5"/>
      <c r="C12" s="5"/>
      <c r="D12" s="5"/>
      <c r="E12" s="6"/>
      <c r="F12" s="6"/>
      <c r="G12" s="6"/>
      <c r="H12" s="6"/>
      <c r="I12" s="6"/>
      <c r="J12" s="6"/>
      <c r="K12" s="7" t="str">
        <f aca="false">IF($E12="","",IF($E12=0,IF($H12=0,0,1),ABS($H12-$E12)/$E12))</f>
        <v/>
      </c>
      <c r="L12" s="8"/>
      <c r="M12" s="5"/>
      <c r="N12" s="5"/>
      <c r="O12" s="5"/>
      <c r="P12" s="9" t="str">
        <f aca="false">IF($E12="","",IF(OR($K12&gt;0.08,$L12&gt;500),"NO-GO",IF(AND($K12&lt;=0.02,$L12&lt;=200,OR($N12="Non",AND($N12="Oui",$O12="Oui"))),"GO","Conditionnel")))</f>
        <v/>
      </c>
      <c r="Q12" s="5"/>
    </row>
    <row r="13" customFormat="false" ht="15" hidden="false" customHeight="false" outlineLevel="0" collapsed="false">
      <c r="A13" s="5"/>
      <c r="B13" s="5"/>
      <c r="C13" s="5"/>
      <c r="D13" s="5"/>
      <c r="E13" s="6"/>
      <c r="F13" s="6"/>
      <c r="G13" s="6"/>
      <c r="H13" s="6"/>
      <c r="I13" s="6"/>
      <c r="J13" s="6"/>
      <c r="K13" s="7" t="str">
        <f aca="false">IF($E13="","",IF($E13=0,IF($H13=0,0,1),ABS($H13-$E13)/$E13))</f>
        <v/>
      </c>
      <c r="L13" s="8"/>
      <c r="M13" s="5"/>
      <c r="N13" s="5"/>
      <c r="O13" s="5"/>
      <c r="P13" s="9" t="str">
        <f aca="false">IF($E13="","",IF(OR($K13&gt;0.08,$L13&gt;500),"NO-GO",IF(AND($K13&lt;=0.02,$L13&lt;=200,OR($N13="Non",AND($N13="Oui",$O13="Oui"))),"GO","Conditionnel")))</f>
        <v/>
      </c>
      <c r="Q13" s="5"/>
    </row>
    <row r="14" customFormat="false" ht="15" hidden="false" customHeight="false" outlineLevel="0" collapsed="false">
      <c r="A14" s="5"/>
      <c r="B14" s="5"/>
      <c r="C14" s="5"/>
      <c r="D14" s="5"/>
      <c r="E14" s="6"/>
      <c r="F14" s="6"/>
      <c r="G14" s="6"/>
      <c r="H14" s="6"/>
      <c r="I14" s="6"/>
      <c r="J14" s="6"/>
      <c r="K14" s="7" t="str">
        <f aca="false">IF($E14="","",IF($E14=0,IF($H14=0,0,1),ABS($H14-$E14)/$E14))</f>
        <v/>
      </c>
      <c r="L14" s="8"/>
      <c r="M14" s="5"/>
      <c r="N14" s="5"/>
      <c r="O14" s="5"/>
      <c r="P14" s="9" t="str">
        <f aca="false">IF($E14="","",IF(OR($K14&gt;0.08,$L14&gt;500),"NO-GO",IF(AND($K14&lt;=0.02,$L14&lt;=200,OR($N14="Non",AND($N14="Oui",$O14="Oui"))),"GO","Conditionnel")))</f>
        <v/>
      </c>
      <c r="Q14" s="5"/>
    </row>
    <row r="15" customFormat="false" ht="15" hidden="false" customHeight="false" outlineLevel="0" collapsed="false">
      <c r="A15" s="5"/>
      <c r="B15" s="5"/>
      <c r="C15" s="5"/>
      <c r="D15" s="5"/>
      <c r="E15" s="6"/>
      <c r="F15" s="6"/>
      <c r="G15" s="6"/>
      <c r="H15" s="6"/>
      <c r="I15" s="6"/>
      <c r="J15" s="6"/>
      <c r="K15" s="7" t="str">
        <f aca="false">IF($E15="","",IF($E15=0,IF($H15=0,0,1),ABS($H15-$E15)/$E15))</f>
        <v/>
      </c>
      <c r="L15" s="8"/>
      <c r="M15" s="5"/>
      <c r="N15" s="5"/>
      <c r="O15" s="5"/>
      <c r="P15" s="9" t="str">
        <f aca="false">IF($E15="","",IF(OR($K15&gt;0.08,$L15&gt;500),"NO-GO",IF(AND($K15&lt;=0.02,$L15&lt;=200,OR($N15="Non",AND($N15="Oui",$O15="Oui"))),"GO","Conditionnel")))</f>
        <v/>
      </c>
      <c r="Q15" s="5"/>
    </row>
    <row r="16" customFormat="false" ht="15" hidden="false" customHeight="false" outlineLevel="0" collapsed="false">
      <c r="A16" s="5"/>
      <c r="B16" s="5"/>
      <c r="C16" s="5"/>
      <c r="D16" s="5"/>
      <c r="E16" s="6"/>
      <c r="F16" s="6"/>
      <c r="G16" s="6"/>
      <c r="H16" s="6"/>
      <c r="I16" s="6"/>
      <c r="J16" s="6"/>
      <c r="K16" s="7" t="str">
        <f aca="false">IF($E16="","",IF($E16=0,IF($H16=0,0,1),ABS($H16-$E16)/$E16))</f>
        <v/>
      </c>
      <c r="L16" s="8"/>
      <c r="M16" s="5"/>
      <c r="N16" s="5"/>
      <c r="O16" s="5"/>
      <c r="P16" s="9" t="str">
        <f aca="false">IF($E16="","",IF(OR($K16&gt;0.08,$L16&gt;500),"NO-GO",IF(AND($K16&lt;=0.02,$L16&lt;=200,OR($N16="Non",AND($N16="Oui",$O16="Oui"))),"GO","Conditionnel")))</f>
        <v/>
      </c>
      <c r="Q16" s="5"/>
    </row>
    <row r="17" customFormat="false" ht="15" hidden="false" customHeight="false" outlineLevel="0" collapsed="false">
      <c r="A17" s="5"/>
      <c r="B17" s="5"/>
      <c r="C17" s="5"/>
      <c r="D17" s="5"/>
      <c r="E17" s="6"/>
      <c r="F17" s="6"/>
      <c r="G17" s="6"/>
      <c r="H17" s="6"/>
      <c r="I17" s="6"/>
      <c r="J17" s="6"/>
      <c r="K17" s="7" t="str">
        <f aca="false">IF($E17="","",IF($E17=0,IF($H17=0,0,1),ABS($H17-$E17)/$E17))</f>
        <v/>
      </c>
      <c r="L17" s="8"/>
      <c r="M17" s="5"/>
      <c r="N17" s="5"/>
      <c r="O17" s="5"/>
      <c r="P17" s="9" t="str">
        <f aca="false">IF($E17="","",IF(OR($K17&gt;0.08,$L17&gt;500),"NO-GO",IF(AND($K17&lt;=0.02,$L17&lt;=200,OR($N17="Non",AND($N17="Oui",$O17="Oui"))),"GO","Conditionnel")))</f>
        <v/>
      </c>
      <c r="Q17" s="5"/>
    </row>
    <row r="18" customFormat="false" ht="15" hidden="false" customHeight="false" outlineLevel="0" collapsed="false">
      <c r="A18" s="5"/>
      <c r="B18" s="5"/>
      <c r="C18" s="5"/>
      <c r="D18" s="5"/>
      <c r="E18" s="6"/>
      <c r="F18" s="6"/>
      <c r="G18" s="6"/>
      <c r="H18" s="6"/>
      <c r="I18" s="6"/>
      <c r="J18" s="6"/>
      <c r="K18" s="7" t="str">
        <f aca="false">IF($E18="","",IF($E18=0,IF($H18=0,0,1),ABS($H18-$E18)/$E18))</f>
        <v/>
      </c>
      <c r="L18" s="8"/>
      <c r="M18" s="5"/>
      <c r="N18" s="5"/>
      <c r="O18" s="5"/>
      <c r="P18" s="9" t="str">
        <f aca="false">IF($E18="","",IF(OR($K18&gt;0.08,$L18&gt;500),"NO-GO",IF(AND($K18&lt;=0.02,$L18&lt;=200,OR($N18="Non",AND($N18="Oui",$O18="Oui"))),"GO","Conditionnel")))</f>
        <v/>
      </c>
      <c r="Q18" s="5"/>
    </row>
    <row r="19" customFormat="false" ht="15" hidden="false" customHeight="false" outlineLevel="0" collapsed="false">
      <c r="A19" s="5"/>
      <c r="B19" s="5"/>
      <c r="C19" s="5"/>
      <c r="D19" s="5"/>
      <c r="E19" s="6"/>
      <c r="F19" s="6"/>
      <c r="G19" s="6"/>
      <c r="H19" s="6"/>
      <c r="I19" s="6"/>
      <c r="J19" s="6"/>
      <c r="K19" s="7" t="str">
        <f aca="false">IF($E19="","",IF($E19=0,IF($H19=0,0,1),ABS($H19-$E19)/$E19))</f>
        <v/>
      </c>
      <c r="L19" s="8"/>
      <c r="M19" s="5"/>
      <c r="N19" s="5"/>
      <c r="O19" s="5"/>
      <c r="P19" s="9" t="str">
        <f aca="false">IF($E19="","",IF(OR($K19&gt;0.08,$L19&gt;500),"NO-GO",IF(AND($K19&lt;=0.02,$L19&lt;=200,OR($N19="Non",AND($N19="Oui",$O19="Oui"))),"GO","Conditionnel")))</f>
        <v/>
      </c>
      <c r="Q19" s="5"/>
    </row>
    <row r="20" customFormat="false" ht="15" hidden="false" customHeight="false" outlineLevel="0" collapsed="false">
      <c r="A20" s="5"/>
      <c r="B20" s="5"/>
      <c r="C20" s="5"/>
      <c r="D20" s="5"/>
      <c r="E20" s="6"/>
      <c r="F20" s="6"/>
      <c r="G20" s="6"/>
      <c r="H20" s="6"/>
      <c r="I20" s="6"/>
      <c r="J20" s="6"/>
      <c r="K20" s="7" t="str">
        <f aca="false">IF($E20="","",IF($E20=0,IF($H20=0,0,1),ABS($H20-$E20)/$E20))</f>
        <v/>
      </c>
      <c r="L20" s="8"/>
      <c r="M20" s="5"/>
      <c r="N20" s="5"/>
      <c r="O20" s="5"/>
      <c r="P20" s="9" t="str">
        <f aca="false">IF($E20="","",IF(OR($K20&gt;0.08,$L20&gt;500),"NO-GO",IF(AND($K20&lt;=0.02,$L20&lt;=200,OR($N20="Non",AND($N20="Oui",$O20="Oui"))),"GO","Conditionnel")))</f>
        <v/>
      </c>
      <c r="Q20" s="5"/>
    </row>
    <row r="21" customFormat="false" ht="15" hidden="false" customHeight="false" outlineLevel="0" collapsed="false">
      <c r="A21" s="5"/>
      <c r="B21" s="5"/>
      <c r="C21" s="5"/>
      <c r="D21" s="5"/>
      <c r="E21" s="6"/>
      <c r="F21" s="6"/>
      <c r="G21" s="6"/>
      <c r="H21" s="6"/>
      <c r="I21" s="6"/>
      <c r="J21" s="6"/>
      <c r="K21" s="7" t="str">
        <f aca="false">IF($E21="","",IF($E21=0,IF($H21=0,0,1),ABS($H21-$E21)/$E21))</f>
        <v/>
      </c>
      <c r="L21" s="8"/>
      <c r="M21" s="5"/>
      <c r="N21" s="5"/>
      <c r="O21" s="5"/>
      <c r="P21" s="9" t="str">
        <f aca="false">IF($E21="","",IF(OR($K21&gt;0.08,$L21&gt;500),"NO-GO",IF(AND($K21&lt;=0.02,$L21&lt;=200,OR($N21="Non",AND($N21="Oui",$O21="Oui"))),"GO","Conditionnel")))</f>
        <v/>
      </c>
      <c r="Q21" s="5"/>
    </row>
    <row r="22" customFormat="false" ht="15" hidden="false" customHeight="false" outlineLevel="0" collapsed="false">
      <c r="A22" s="5"/>
      <c r="B22" s="5"/>
      <c r="C22" s="5"/>
      <c r="D22" s="5"/>
      <c r="E22" s="6"/>
      <c r="F22" s="6"/>
      <c r="G22" s="6"/>
      <c r="H22" s="6"/>
      <c r="I22" s="6"/>
      <c r="J22" s="6"/>
      <c r="K22" s="7" t="str">
        <f aca="false">IF($E22="","",IF($E22=0,IF($H22=0,0,1),ABS($H22-$E22)/$E22))</f>
        <v/>
      </c>
      <c r="L22" s="8"/>
      <c r="M22" s="5"/>
      <c r="N22" s="5"/>
      <c r="O22" s="5"/>
      <c r="P22" s="9" t="str">
        <f aca="false">IF($E22="","",IF(OR($K22&gt;0.08,$L22&gt;500),"NO-GO",IF(AND($K22&lt;=0.02,$L22&lt;=200,OR($N22="Non",AND($N22="Oui",$O22="Oui"))),"GO","Conditionnel")))</f>
        <v/>
      </c>
      <c r="Q22" s="5"/>
    </row>
    <row r="23" customFormat="false" ht="15" hidden="false" customHeight="false" outlineLevel="0" collapsed="false">
      <c r="A23" s="5"/>
      <c r="B23" s="5"/>
      <c r="C23" s="5"/>
      <c r="D23" s="5"/>
      <c r="E23" s="6"/>
      <c r="F23" s="6"/>
      <c r="G23" s="6"/>
      <c r="H23" s="6"/>
      <c r="I23" s="6"/>
      <c r="J23" s="6"/>
      <c r="K23" s="7" t="str">
        <f aca="false">IF($E23="","",IF($E23=0,IF($H23=0,0,1),ABS($H23-$E23)/$E23))</f>
        <v/>
      </c>
      <c r="L23" s="8"/>
      <c r="M23" s="5"/>
      <c r="N23" s="5"/>
      <c r="O23" s="5"/>
      <c r="P23" s="9" t="str">
        <f aca="false">IF($E23="","",IF(OR($K23&gt;0.08,$L23&gt;500),"NO-GO",IF(AND($K23&lt;=0.02,$L23&lt;=200,OR($N23="Non",AND($N23="Oui",$O23="Oui"))),"GO","Conditionnel")))</f>
        <v/>
      </c>
      <c r="Q23" s="5"/>
    </row>
    <row r="24" customFormat="false" ht="15" hidden="false" customHeight="false" outlineLevel="0" collapsed="false">
      <c r="A24" s="5"/>
      <c r="B24" s="5"/>
      <c r="C24" s="5"/>
      <c r="D24" s="5"/>
      <c r="E24" s="6"/>
      <c r="F24" s="6"/>
      <c r="G24" s="6"/>
      <c r="H24" s="6"/>
      <c r="I24" s="6"/>
      <c r="J24" s="6"/>
      <c r="K24" s="7" t="str">
        <f aca="false">IF($E24="","",IF($E24=0,IF($H24=0,0,1),ABS($H24-$E24)/$E24))</f>
        <v/>
      </c>
      <c r="L24" s="8"/>
      <c r="M24" s="5"/>
      <c r="N24" s="5"/>
      <c r="O24" s="5"/>
      <c r="P24" s="9" t="str">
        <f aca="false">IF($E24="","",IF(OR($K24&gt;0.08,$L24&gt;500),"NO-GO",IF(AND($K24&lt;=0.02,$L24&lt;=200,OR($N24="Non",AND($N24="Oui",$O24="Oui"))),"GO","Conditionnel")))</f>
        <v/>
      </c>
      <c r="Q24" s="5"/>
    </row>
    <row r="25" customFormat="false" ht="15" hidden="false" customHeight="false" outlineLevel="0" collapsed="false">
      <c r="A25" s="5"/>
      <c r="B25" s="5"/>
      <c r="C25" s="5"/>
      <c r="D25" s="5"/>
      <c r="E25" s="6"/>
      <c r="F25" s="6"/>
      <c r="G25" s="6"/>
      <c r="H25" s="6"/>
      <c r="I25" s="6"/>
      <c r="J25" s="6"/>
      <c r="K25" s="7" t="str">
        <f aca="false">IF($E25="","",IF($E25=0,IF($H25=0,0,1),ABS($H25-$E25)/$E25))</f>
        <v/>
      </c>
      <c r="L25" s="8"/>
      <c r="M25" s="5"/>
      <c r="N25" s="5"/>
      <c r="O25" s="5"/>
      <c r="P25" s="9" t="str">
        <f aca="false">IF($E25="","",IF(OR($K25&gt;0.08,$L25&gt;500),"NO-GO",IF(AND($K25&lt;=0.02,$L25&lt;=200,OR($N25="Non",AND($N25="Oui",$O25="Oui"))),"GO","Conditionnel")))</f>
        <v/>
      </c>
      <c r="Q25" s="5"/>
    </row>
    <row r="26" customFormat="false" ht="15" hidden="false" customHeight="false" outlineLevel="0" collapsed="false">
      <c r="A26" s="5"/>
      <c r="B26" s="5"/>
      <c r="C26" s="5"/>
      <c r="D26" s="5"/>
      <c r="E26" s="6"/>
      <c r="F26" s="6"/>
      <c r="G26" s="6"/>
      <c r="H26" s="6"/>
      <c r="I26" s="6"/>
      <c r="J26" s="6"/>
      <c r="K26" s="7" t="str">
        <f aca="false">IF($E26="","",IF($E26=0,IF($H26=0,0,1),ABS($H26-$E26)/$E26))</f>
        <v/>
      </c>
      <c r="L26" s="8"/>
      <c r="M26" s="5"/>
      <c r="N26" s="5"/>
      <c r="O26" s="5"/>
      <c r="P26" s="9" t="str">
        <f aca="false">IF($E26="","",IF(OR($K26&gt;0.08,$L26&gt;500),"NO-GO",IF(AND($K26&lt;=0.02,$L26&lt;=200,OR($N26="Non",AND($N26="Oui",$O26="Oui"))),"GO","Conditionnel")))</f>
        <v/>
      </c>
      <c r="Q26" s="5"/>
    </row>
    <row r="27" customFormat="false" ht="15" hidden="false" customHeight="false" outlineLevel="0" collapsed="false">
      <c r="A27" s="5"/>
      <c r="B27" s="5"/>
      <c r="C27" s="5"/>
      <c r="D27" s="5"/>
      <c r="E27" s="6"/>
      <c r="F27" s="6"/>
      <c r="G27" s="6"/>
      <c r="H27" s="6"/>
      <c r="I27" s="6"/>
      <c r="J27" s="6"/>
      <c r="K27" s="7" t="str">
        <f aca="false">IF($E27="","",IF($E27=0,IF($H27=0,0,1),ABS($H27-$E27)/$E27))</f>
        <v/>
      </c>
      <c r="L27" s="8"/>
      <c r="M27" s="5"/>
      <c r="N27" s="5"/>
      <c r="O27" s="5"/>
      <c r="P27" s="9" t="str">
        <f aca="false">IF($E27="","",IF(OR($K27&gt;0.08,$L27&gt;500),"NO-GO",IF(AND($K27&lt;=0.02,$L27&lt;=200,OR($N27="Non",AND($N27="Oui",$O27="Oui"))),"GO","Conditionnel")))</f>
        <v/>
      </c>
      <c r="Q27" s="5"/>
    </row>
    <row r="28" customFormat="false" ht="15" hidden="false" customHeight="false" outlineLevel="0" collapsed="false">
      <c r="A28" s="5"/>
      <c r="B28" s="5"/>
      <c r="C28" s="5"/>
      <c r="D28" s="5"/>
      <c r="E28" s="6"/>
      <c r="F28" s="6"/>
      <c r="G28" s="6"/>
      <c r="H28" s="6"/>
      <c r="I28" s="6"/>
      <c r="J28" s="6"/>
      <c r="K28" s="7" t="str">
        <f aca="false">IF($E28="","",IF($E28=0,IF($H28=0,0,1),ABS($H28-$E28)/$E28))</f>
        <v/>
      </c>
      <c r="L28" s="8"/>
      <c r="M28" s="5"/>
      <c r="N28" s="5"/>
      <c r="O28" s="5"/>
      <c r="P28" s="9" t="str">
        <f aca="false">IF($E28="","",IF(OR($K28&gt;0.08,$L28&gt;500),"NO-GO",IF(AND($K28&lt;=0.02,$L28&lt;=200,OR($N28="Non",AND($N28="Oui",$O28="Oui"))),"GO","Conditionnel")))</f>
        <v/>
      </c>
      <c r="Q28" s="5"/>
    </row>
    <row r="29" customFormat="false" ht="15" hidden="false" customHeight="false" outlineLevel="0" collapsed="false">
      <c r="A29" s="5"/>
      <c r="B29" s="5"/>
      <c r="C29" s="5"/>
      <c r="D29" s="5"/>
      <c r="E29" s="6"/>
      <c r="F29" s="6"/>
      <c r="G29" s="6"/>
      <c r="H29" s="6"/>
      <c r="I29" s="6"/>
      <c r="J29" s="6"/>
      <c r="K29" s="7" t="str">
        <f aca="false">IF($E29="","",IF($E29=0,IF($H29=0,0,1),ABS($H29-$E29)/$E29))</f>
        <v/>
      </c>
      <c r="L29" s="8"/>
      <c r="M29" s="5"/>
      <c r="N29" s="5"/>
      <c r="O29" s="5"/>
      <c r="P29" s="9" t="str">
        <f aca="false">IF($E29="","",IF(OR($K29&gt;0.08,$L29&gt;500),"NO-GO",IF(AND($K29&lt;=0.02,$L29&lt;=200,OR($N29="Non",AND($N29="Oui",$O29="Oui"))),"GO","Conditionnel")))</f>
        <v/>
      </c>
      <c r="Q29" s="5"/>
    </row>
    <row r="30" customFormat="false" ht="15" hidden="false" customHeight="false" outlineLevel="0" collapsed="false">
      <c r="A30" s="5"/>
      <c r="B30" s="5"/>
      <c r="C30" s="5"/>
      <c r="D30" s="5"/>
      <c r="E30" s="6"/>
      <c r="F30" s="6"/>
      <c r="G30" s="6"/>
      <c r="H30" s="6"/>
      <c r="I30" s="6"/>
      <c r="J30" s="6"/>
      <c r="K30" s="7" t="str">
        <f aca="false">IF($E30="","",IF($E30=0,IF($H30=0,0,1),ABS($H30-$E30)/$E30))</f>
        <v/>
      </c>
      <c r="L30" s="8"/>
      <c r="M30" s="5"/>
      <c r="N30" s="5"/>
      <c r="O30" s="5"/>
      <c r="P30" s="9" t="str">
        <f aca="false">IF($E30="","",IF(OR($K30&gt;0.08,$L30&gt;500),"NO-GO",IF(AND($K30&lt;=0.02,$L30&lt;=200,OR($N30="Non",AND($N30="Oui",$O30="Oui"))),"GO","Conditionnel")))</f>
        <v/>
      </c>
      <c r="Q30" s="5"/>
    </row>
    <row r="31" customFormat="false" ht="15" hidden="false" customHeight="false" outlineLevel="0" collapsed="false">
      <c r="A31" s="5"/>
      <c r="B31" s="5"/>
      <c r="C31" s="5"/>
      <c r="D31" s="5"/>
      <c r="E31" s="6"/>
      <c r="F31" s="6"/>
      <c r="G31" s="6"/>
      <c r="H31" s="6"/>
      <c r="I31" s="6"/>
      <c r="J31" s="6"/>
      <c r="K31" s="7" t="str">
        <f aca="false">IF($E31="","",IF($E31=0,IF($H31=0,0,1),ABS($H31-$E31)/$E31))</f>
        <v/>
      </c>
      <c r="L31" s="8"/>
      <c r="M31" s="5"/>
      <c r="N31" s="5"/>
      <c r="O31" s="5"/>
      <c r="P31" s="9" t="str">
        <f aca="false">IF($E31="","",IF(OR($K31&gt;0.08,$L31&gt;500),"NO-GO",IF(AND($K31&lt;=0.02,$L31&lt;=200,OR($N31="Non",AND($N31="Oui",$O31="Oui"))),"GO","Conditionnel")))</f>
        <v/>
      </c>
      <c r="Q31" s="5"/>
    </row>
    <row r="32" customFormat="false" ht="15" hidden="false" customHeight="false" outlineLevel="0" collapsed="false">
      <c r="A32" s="5"/>
      <c r="B32" s="5"/>
      <c r="C32" s="5"/>
      <c r="D32" s="5"/>
      <c r="E32" s="6"/>
      <c r="F32" s="6"/>
      <c r="G32" s="6"/>
      <c r="H32" s="6"/>
      <c r="I32" s="6"/>
      <c r="J32" s="6"/>
      <c r="K32" s="7" t="str">
        <f aca="false">IF($E32="","",IF($E32=0,IF($H32=0,0,1),ABS($H32-$E32)/$E32))</f>
        <v/>
      </c>
      <c r="L32" s="8"/>
      <c r="M32" s="5"/>
      <c r="N32" s="5"/>
      <c r="O32" s="5"/>
      <c r="P32" s="9" t="str">
        <f aca="false">IF($E32="","",IF(OR($K32&gt;0.08,$L32&gt;500),"NO-GO",IF(AND($K32&lt;=0.02,$L32&lt;=200,OR($N32="Non",AND($N32="Oui",$O32="Oui"))),"GO","Conditionnel")))</f>
        <v/>
      </c>
      <c r="Q32" s="5"/>
    </row>
    <row r="33" customFormat="false" ht="15" hidden="false" customHeight="false" outlineLevel="0" collapsed="false">
      <c r="A33" s="5"/>
      <c r="B33" s="5"/>
      <c r="C33" s="5"/>
      <c r="D33" s="5"/>
      <c r="E33" s="6"/>
      <c r="F33" s="6"/>
      <c r="G33" s="6"/>
      <c r="H33" s="6"/>
      <c r="I33" s="6"/>
      <c r="J33" s="6"/>
      <c r="K33" s="7" t="str">
        <f aca="false">IF($E33="","",IF($E33=0,IF($H33=0,0,1),ABS($H33-$E33)/$E33))</f>
        <v/>
      </c>
      <c r="L33" s="8"/>
      <c r="M33" s="5"/>
      <c r="N33" s="5"/>
      <c r="O33" s="5"/>
      <c r="P33" s="9" t="str">
        <f aca="false">IF($E33="","",IF(OR($K33&gt;0.08,$L33&gt;500),"NO-GO",IF(AND($K33&lt;=0.02,$L33&lt;=200,OR($N33="Non",AND($N33="Oui",$O33="Oui"))),"GO","Conditionnel")))</f>
        <v/>
      </c>
      <c r="Q33" s="5"/>
    </row>
  </sheetData>
  <dataValidations count="3">
    <dataValidation allowBlank="true" errorStyle="stop" operator="between" showDropDown="false" showErrorMessage="false" showInputMessage="false" sqref="C4:C33" type="list">
      <formula1>"Desktop Windows,Desktop Mac,Web,iPad"</formula1>
      <formula2>0</formula2>
    </dataValidation>
    <dataValidation allowBlank="true" errorStyle="stop" operator="between" showDropDown="false" showErrorMessage="false" showInputMessage="false" sqref="D4:D33" type="list">
      <formula1>"Frappe continue,Coller un bloc,Couper-supprimer,Reecriture/revision,Dictee vocale,Autocorrection,Annuler-Retablir,Rechercher-remplacer,Deplacer un bloc,Notes de bas de page,Document long 80-100k,Track changes,Co-edition,Inactivite 15min,Hors-ligne"</formula1>
      <formula2>0</formula2>
    </dataValidation>
    <dataValidation allowBlank="true" errorStyle="stop" operator="between" showDropDown="false" showErrorMessage="false" showInputMessage="false" sqref="M4:O33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6" min="3" style="0" width="18"/>
  </cols>
  <sheetData>
    <row r="2" customFormat="false" ht="17.35" hidden="false" customHeight="false" outlineLevel="0" collapsed="false">
      <c r="B2" s="1" t="s">
        <v>36</v>
      </c>
    </row>
    <row r="4" customFormat="false" ht="15" hidden="false" customHeight="false" outlineLevel="0" collapsed="false">
      <c r="B4" s="10" t="s">
        <v>37</v>
      </c>
    </row>
    <row r="5" customFormat="false" ht="15" hidden="false" customHeight="false" outlineLevel="0" collapsed="false">
      <c r="B5" s="11" t="s">
        <v>38</v>
      </c>
      <c r="C5" s="12" t="n">
        <f aca="false">COUNTA(Releves!A4:A33)</f>
        <v>1</v>
      </c>
    </row>
    <row r="6" customFormat="false" ht="15" hidden="false" customHeight="false" outlineLevel="0" collapsed="false">
      <c r="B6" s="11" t="s">
        <v>39</v>
      </c>
      <c r="C6" s="13" t="n">
        <f aca="false">IFERROR(AVERAGE(Releves!K4:K33),"-")</f>
        <v>0</v>
      </c>
    </row>
    <row r="7" customFormat="false" ht="15" hidden="false" customHeight="false" outlineLevel="0" collapsed="false">
      <c r="B7" s="11" t="s">
        <v>40</v>
      </c>
      <c r="C7" s="13" t="n">
        <f aca="false">IFERROR(MAX(Releves!K4:K33),"-")</f>
        <v>0</v>
      </c>
    </row>
    <row r="8" customFormat="false" ht="15" hidden="false" customHeight="false" outlineLevel="0" collapsed="false">
      <c r="B8" s="11" t="s">
        <v>41</v>
      </c>
      <c r="C8" s="12" t="n">
        <f aca="false">IFERROR(AVERAGE(Releves!L4:L33),"-")</f>
        <v>95</v>
      </c>
    </row>
    <row r="9" customFormat="false" ht="15" hidden="false" customHeight="false" outlineLevel="0" collapsed="false">
      <c r="B9" s="11" t="s">
        <v>25</v>
      </c>
      <c r="C9" s="12" t="n">
        <f aca="false">IFERROR(MAX(Releves!L4:L33),"-")</f>
        <v>95</v>
      </c>
    </row>
    <row r="10" customFormat="false" ht="15" hidden="false" customHeight="false" outlineLevel="0" collapsed="false">
      <c r="B10" s="11" t="s">
        <v>42</v>
      </c>
      <c r="C10" s="13" t="n">
        <f aca="false">IFERROR(COUNTIFS(Releves!N4:N33,"Oui",Releves!O4:O33,"Oui")/COUNTIF(Releves!N4:N33,"Oui"),"-")</f>
        <v>1</v>
      </c>
    </row>
    <row r="11" customFormat="false" ht="15" hidden="false" customHeight="false" outlineLevel="0" collapsed="false">
      <c r="B11" s="11" t="s">
        <v>43</v>
      </c>
      <c r="C11" s="12" t="n">
        <f aca="false">COUNTIF(Releves!P4:P33,"GO")</f>
        <v>1</v>
      </c>
    </row>
    <row r="12" customFormat="false" ht="15" hidden="false" customHeight="false" outlineLevel="0" collapsed="false">
      <c r="B12" s="11" t="s">
        <v>44</v>
      </c>
      <c r="C12" s="12" t="n">
        <f aca="false">COUNTIF(Releves!P4:P33,"Conditionnel")</f>
        <v>0</v>
      </c>
    </row>
    <row r="13" customFormat="false" ht="15" hidden="false" customHeight="false" outlineLevel="0" collapsed="false">
      <c r="B13" s="11" t="s">
        <v>45</v>
      </c>
      <c r="C13" s="12" t="n">
        <f aca="false">COUNTIF(Releves!P4:P33,"NO-GO")</f>
        <v>0</v>
      </c>
    </row>
    <row r="15" customFormat="false" ht="15" hidden="false" customHeight="false" outlineLevel="0" collapsed="false">
      <c r="B15" s="10" t="s">
        <v>46</v>
      </c>
    </row>
    <row r="16" customFormat="false" ht="36" hidden="false" customHeight="true" outlineLevel="0" collapsed="false">
      <c r="B16" s="14" t="str">
        <f aca="false">IF(COUNTA(Releves!A4:A33)=0,"Aucun test saisi",IF(COUNTIF(Releves!P4:P33,"NO-GO")&gt;0,"NO-GO : au moins un test critique echoue, revoir avant de continuer",IF(COUNTIF(Releves!P4:P33,"Conditionnel")&gt;0,"GO CONDITIONNEL : documenter les limites avant le MVP","GO : tracking fiable sur les tests realises")))</f>
        <v>GO : tracking fiable sur les tests realises</v>
      </c>
      <c r="C16" s="14"/>
      <c r="D16" s="14"/>
      <c r="E16" s="14"/>
      <c r="F16" s="14"/>
    </row>
    <row r="18" customFormat="false" ht="15" hidden="false" customHeight="false" outlineLevel="0" collapsed="false">
      <c r="B18" s="10" t="s">
        <v>47</v>
      </c>
    </row>
    <row r="19" customFormat="false" ht="15" hidden="false" customHeight="false" outlineLevel="0" collapsed="false">
      <c r="B19" s="15" t="s">
        <v>48</v>
      </c>
      <c r="C19" s="15" t="s">
        <v>49</v>
      </c>
      <c r="D19" s="15" t="s">
        <v>50</v>
      </c>
      <c r="E19" s="15" t="s">
        <v>51</v>
      </c>
    </row>
    <row r="20" customFormat="false" ht="15" hidden="false" customHeight="false" outlineLevel="0" collapsed="false">
      <c r="B20" s="11" t="s">
        <v>52</v>
      </c>
      <c r="C20" s="16" t="s">
        <v>53</v>
      </c>
      <c r="D20" s="16" t="s">
        <v>54</v>
      </c>
      <c r="E20" s="16" t="s">
        <v>55</v>
      </c>
    </row>
    <row r="21" customFormat="false" ht="15" hidden="false" customHeight="false" outlineLevel="0" collapsed="false">
      <c r="B21" s="11" t="s">
        <v>56</v>
      </c>
      <c r="C21" s="16" t="s">
        <v>57</v>
      </c>
      <c r="D21" s="16" t="s">
        <v>58</v>
      </c>
      <c r="E21" s="16" t="s">
        <v>59</v>
      </c>
    </row>
    <row r="22" customFormat="false" ht="15" hidden="false" customHeight="false" outlineLevel="0" collapsed="false">
      <c r="B22" s="11" t="s">
        <v>60</v>
      </c>
      <c r="C22" s="16" t="s">
        <v>61</v>
      </c>
      <c r="D22" s="16" t="s">
        <v>62</v>
      </c>
      <c r="E22" s="16" t="s">
        <v>63</v>
      </c>
    </row>
    <row r="23" customFormat="false" ht="15" hidden="false" customHeight="false" outlineLevel="0" collapsed="false">
      <c r="B23" s="11" t="s">
        <v>64</v>
      </c>
      <c r="C23" s="16" t="s">
        <v>65</v>
      </c>
      <c r="D23" s="16" t="s">
        <v>66</v>
      </c>
      <c r="E23" s="16" t="s">
        <v>67</v>
      </c>
    </row>
    <row r="24" customFormat="false" ht="15" hidden="false" customHeight="false" outlineLevel="0" collapsed="false">
      <c r="B24" s="11" t="s">
        <v>68</v>
      </c>
      <c r="C24" s="16" t="s">
        <v>69</v>
      </c>
      <c r="D24" s="16" t="s">
        <v>70</v>
      </c>
      <c r="E24" s="16" t="s">
        <v>71</v>
      </c>
    </row>
  </sheetData>
  <mergeCells count="1"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2026-06-13T14:26:01Z</dcterms:created>
  <dc:creator>openpyxl</dc:creator>
  <dc:description/>
  <dc:language>en-US</dc:language>
  <cp:lastModifiedBy/>
  <dcterms:modified xsi:type="dcterms:W3CDTF">2026-06-13T14:26:01Z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